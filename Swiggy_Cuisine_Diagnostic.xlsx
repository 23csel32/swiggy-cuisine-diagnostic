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Data" sheetId="1" state="visible" r:id="rId1"/>
    <sheet xmlns:r="http://schemas.openxmlformats.org/officeDocument/2006/relationships" name="Cuisine Targets" sheetId="2" state="visible" r:id="rId2"/>
    <sheet xmlns:r="http://schemas.openxmlformats.org/officeDocument/2006/relationships" name="Pivot" sheetId="3" state="visible" r:id="rId3"/>
    <sheet xmlns:r="http://schemas.openxmlformats.org/officeDocument/2006/relationships" name="Cuisin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9C0006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cuisine</t>
        </is>
      </c>
      <c r="B1" s="1" t="inlineStr">
        <is>
          <t>month</t>
        </is>
      </c>
      <c r="C1" s="1" t="inlineStr">
        <is>
          <t>order_count</t>
        </is>
      </c>
      <c r="D1" s="1" t="inlineStr">
        <is>
          <t>total_revenue</t>
        </is>
      </c>
      <c r="E1" s="1" t="inlineStr">
        <is>
          <t>avg_revenue</t>
        </is>
      </c>
    </row>
    <row r="2">
      <c r="A2" t="inlineStr">
        <is>
          <t>Chinese</t>
        </is>
      </c>
      <c r="B2" t="inlineStr">
        <is>
          <t>2026-01</t>
        </is>
      </c>
      <c r="C2" t="n">
        <v>16</v>
      </c>
      <c r="D2" t="n">
        <v>24583</v>
      </c>
      <c r="E2" t="n">
        <v>1536.4375</v>
      </c>
    </row>
    <row r="3">
      <c r="A3" t="inlineStr">
        <is>
          <t>Chinese</t>
        </is>
      </c>
      <c r="B3" t="inlineStr">
        <is>
          <t>2026-02</t>
        </is>
      </c>
      <c r="C3" t="n">
        <v>16</v>
      </c>
      <c r="D3" t="n">
        <v>20381</v>
      </c>
      <c r="E3" t="n">
        <v>1273.8125</v>
      </c>
    </row>
    <row r="4">
      <c r="A4" t="inlineStr">
        <is>
          <t>Chinese</t>
        </is>
      </c>
      <c r="B4" t="inlineStr">
        <is>
          <t>2026-03</t>
        </is>
      </c>
      <c r="C4" t="n">
        <v>16</v>
      </c>
      <c r="D4" t="n">
        <v>20273</v>
      </c>
      <c r="E4" t="n">
        <v>1267.0625</v>
      </c>
    </row>
    <row r="5">
      <c r="A5" t="inlineStr">
        <is>
          <t>Chinese</t>
        </is>
      </c>
      <c r="B5" t="inlineStr">
        <is>
          <t>2026-04</t>
        </is>
      </c>
      <c r="C5" t="n">
        <v>15</v>
      </c>
      <c r="D5" t="n">
        <v>18695</v>
      </c>
      <c r="E5" t="n">
        <v>1246.333333333333</v>
      </c>
    </row>
    <row r="6">
      <c r="A6" t="inlineStr">
        <is>
          <t>Chinese</t>
        </is>
      </c>
      <c r="B6" t="inlineStr">
        <is>
          <t>2026-05</t>
        </is>
      </c>
      <c r="C6" t="n">
        <v>10</v>
      </c>
      <c r="D6" t="n">
        <v>14677</v>
      </c>
      <c r="E6" t="n">
        <v>1467.7</v>
      </c>
    </row>
    <row r="7">
      <c r="A7" t="inlineStr">
        <is>
          <t>Chinese</t>
        </is>
      </c>
      <c r="B7" t="inlineStr">
        <is>
          <t>2026-06</t>
        </is>
      </c>
      <c r="C7" t="n">
        <v>18</v>
      </c>
      <c r="D7" t="n">
        <v>29231</v>
      </c>
      <c r="E7" t="n">
        <v>1623.944444444444</v>
      </c>
    </row>
    <row r="8">
      <c r="A8" t="inlineStr">
        <is>
          <t>Desserts</t>
        </is>
      </c>
      <c r="B8" t="inlineStr">
        <is>
          <t>2026-01</t>
        </is>
      </c>
      <c r="C8" t="n">
        <v>3</v>
      </c>
      <c r="D8" t="n">
        <v>5706</v>
      </c>
      <c r="E8" t="n">
        <v>1902</v>
      </c>
    </row>
    <row r="9">
      <c r="A9" t="inlineStr">
        <is>
          <t>Desserts</t>
        </is>
      </c>
      <c r="B9" t="inlineStr">
        <is>
          <t>2026-02</t>
        </is>
      </c>
      <c r="C9" t="n">
        <v>3</v>
      </c>
      <c r="D9" t="n">
        <v>3953</v>
      </c>
      <c r="E9" t="n">
        <v>1317.666666666667</v>
      </c>
    </row>
    <row r="10">
      <c r="A10" t="inlineStr">
        <is>
          <t>Desserts</t>
        </is>
      </c>
      <c r="B10" t="inlineStr">
        <is>
          <t>2026-03</t>
        </is>
      </c>
      <c r="C10" t="n">
        <v>2</v>
      </c>
      <c r="D10" t="n">
        <v>2809</v>
      </c>
      <c r="E10" t="n">
        <v>1404.5</v>
      </c>
    </row>
    <row r="11">
      <c r="A11" t="inlineStr">
        <is>
          <t>Desserts</t>
        </is>
      </c>
      <c r="B11" t="inlineStr">
        <is>
          <t>2026-05</t>
        </is>
      </c>
      <c r="C11" t="n">
        <v>4</v>
      </c>
      <c r="D11" t="n">
        <v>5633</v>
      </c>
      <c r="E11" t="n">
        <v>1408.25</v>
      </c>
    </row>
    <row r="12">
      <c r="A12" t="inlineStr">
        <is>
          <t>Desserts</t>
        </is>
      </c>
      <c r="B12" t="inlineStr">
        <is>
          <t>2026-06</t>
        </is>
      </c>
      <c r="C12" t="n">
        <v>1</v>
      </c>
      <c r="D12" t="n">
        <v>1593</v>
      </c>
      <c r="E12" t="n">
        <v>1593</v>
      </c>
    </row>
    <row r="13">
      <c r="A13" t="inlineStr">
        <is>
          <t>Fast Food</t>
        </is>
      </c>
      <c r="B13" t="inlineStr">
        <is>
          <t>2026-01</t>
        </is>
      </c>
      <c r="C13" t="n">
        <v>10</v>
      </c>
      <c r="D13" t="n">
        <v>10499</v>
      </c>
      <c r="E13" t="n">
        <v>1049.9</v>
      </c>
    </row>
    <row r="14">
      <c r="A14" t="inlineStr">
        <is>
          <t>Fast Food</t>
        </is>
      </c>
      <c r="B14" t="inlineStr">
        <is>
          <t>2026-02</t>
        </is>
      </c>
      <c r="C14" t="n">
        <v>5</v>
      </c>
      <c r="D14" t="n">
        <v>6277</v>
      </c>
      <c r="E14" t="n">
        <v>1255.4</v>
      </c>
    </row>
    <row r="15">
      <c r="A15" t="inlineStr">
        <is>
          <t>Fast Food</t>
        </is>
      </c>
      <c r="B15" t="inlineStr">
        <is>
          <t>2026-03</t>
        </is>
      </c>
      <c r="C15" t="n">
        <v>9</v>
      </c>
      <c r="D15" t="n">
        <v>10495</v>
      </c>
      <c r="E15" t="n">
        <v>1166.111111111111</v>
      </c>
    </row>
    <row r="16">
      <c r="A16" t="inlineStr">
        <is>
          <t>Fast Food</t>
        </is>
      </c>
      <c r="B16" t="inlineStr">
        <is>
          <t>2026-04</t>
        </is>
      </c>
      <c r="C16" t="n">
        <v>8</v>
      </c>
      <c r="D16" t="n">
        <v>14644</v>
      </c>
      <c r="E16" t="n">
        <v>1830.5</v>
      </c>
    </row>
    <row r="17">
      <c r="A17" t="inlineStr">
        <is>
          <t>Fast Food</t>
        </is>
      </c>
      <c r="B17" t="inlineStr">
        <is>
          <t>2026-05</t>
        </is>
      </c>
      <c r="C17" t="n">
        <v>6</v>
      </c>
      <c r="D17" t="n">
        <v>8546</v>
      </c>
      <c r="E17" t="n">
        <v>1424.333333333333</v>
      </c>
    </row>
    <row r="18">
      <c r="A18" t="inlineStr">
        <is>
          <t>Fast Food</t>
        </is>
      </c>
      <c r="B18" t="inlineStr">
        <is>
          <t>2026-06</t>
        </is>
      </c>
      <c r="C18" t="n">
        <v>4</v>
      </c>
      <c r="D18" t="n">
        <v>4662</v>
      </c>
      <c r="E18" t="n">
        <v>1165.5</v>
      </c>
    </row>
    <row r="19">
      <c r="A19" t="inlineStr">
        <is>
          <t>Italian</t>
        </is>
      </c>
      <c r="B19" t="inlineStr">
        <is>
          <t>2026-01</t>
        </is>
      </c>
      <c r="C19" t="n">
        <v>1</v>
      </c>
      <c r="D19" t="n">
        <v>1716</v>
      </c>
      <c r="E19" t="n">
        <v>1716</v>
      </c>
    </row>
    <row r="20">
      <c r="A20" t="inlineStr">
        <is>
          <t>Italian</t>
        </is>
      </c>
      <c r="B20" t="inlineStr">
        <is>
          <t>2026-02</t>
        </is>
      </c>
      <c r="C20" t="n">
        <v>1</v>
      </c>
      <c r="D20" t="n">
        <v>1142</v>
      </c>
      <c r="E20" t="n">
        <v>1142</v>
      </c>
    </row>
    <row r="21">
      <c r="A21" t="inlineStr">
        <is>
          <t>Italian</t>
        </is>
      </c>
      <c r="B21" t="inlineStr">
        <is>
          <t>2026-04</t>
        </is>
      </c>
      <c r="C21" t="n">
        <v>5</v>
      </c>
      <c r="D21" t="n">
        <v>4510</v>
      </c>
      <c r="E21" t="n">
        <v>902</v>
      </c>
    </row>
    <row r="22">
      <c r="A22" t="inlineStr">
        <is>
          <t>Italian</t>
        </is>
      </c>
      <c r="B22" t="inlineStr">
        <is>
          <t>2026-05</t>
        </is>
      </c>
      <c r="C22" t="n">
        <v>1</v>
      </c>
      <c r="D22" t="n">
        <v>1455</v>
      </c>
      <c r="E22" t="n">
        <v>1455</v>
      </c>
    </row>
    <row r="23">
      <c r="A23" t="inlineStr">
        <is>
          <t>Italian</t>
        </is>
      </c>
      <c r="B23" t="inlineStr">
        <is>
          <t>2026-06</t>
        </is>
      </c>
      <c r="C23" t="n">
        <v>3</v>
      </c>
      <c r="D23" t="n">
        <v>5912</v>
      </c>
      <c r="E23" t="n">
        <v>1970.666666666667</v>
      </c>
    </row>
    <row r="24">
      <c r="A24" t="inlineStr">
        <is>
          <t>North Indian</t>
        </is>
      </c>
      <c r="B24" t="inlineStr">
        <is>
          <t>2026-01</t>
        </is>
      </c>
      <c r="C24" t="n">
        <v>25</v>
      </c>
      <c r="D24" t="n">
        <v>37468</v>
      </c>
      <c r="E24" t="n">
        <v>1498.72</v>
      </c>
    </row>
    <row r="25">
      <c r="A25" t="inlineStr">
        <is>
          <t>North Indian</t>
        </is>
      </c>
      <c r="B25" t="inlineStr">
        <is>
          <t>2026-02</t>
        </is>
      </c>
      <c r="C25" t="n">
        <v>26</v>
      </c>
      <c r="D25" t="n">
        <v>38819</v>
      </c>
      <c r="E25" t="n">
        <v>1493.038461538461</v>
      </c>
    </row>
    <row r="26">
      <c r="A26" t="inlineStr">
        <is>
          <t>North Indian</t>
        </is>
      </c>
      <c r="B26" t="inlineStr">
        <is>
          <t>2026-03</t>
        </is>
      </c>
      <c r="C26" t="n">
        <v>25</v>
      </c>
      <c r="D26" t="n">
        <v>25803</v>
      </c>
      <c r="E26" t="n">
        <v>1032.12</v>
      </c>
    </row>
    <row r="27">
      <c r="A27" t="inlineStr">
        <is>
          <t>North Indian</t>
        </is>
      </c>
      <c r="B27" t="inlineStr">
        <is>
          <t>2026-04</t>
        </is>
      </c>
      <c r="C27" t="n">
        <v>27</v>
      </c>
      <c r="D27" t="n">
        <v>39368</v>
      </c>
      <c r="E27" t="n">
        <v>1458.074074074074</v>
      </c>
    </row>
    <row r="28">
      <c r="A28" t="inlineStr">
        <is>
          <t>North Indian</t>
        </is>
      </c>
      <c r="B28" t="inlineStr">
        <is>
          <t>2026-05</t>
        </is>
      </c>
      <c r="C28" t="n">
        <v>24</v>
      </c>
      <c r="D28" t="n">
        <v>33707</v>
      </c>
      <c r="E28" t="n">
        <v>1404.458333333333</v>
      </c>
    </row>
    <row r="29">
      <c r="A29" t="inlineStr">
        <is>
          <t>North Indian</t>
        </is>
      </c>
      <c r="B29" t="inlineStr">
        <is>
          <t>2026-06</t>
        </is>
      </c>
      <c r="C29" t="n">
        <v>27</v>
      </c>
      <c r="D29" t="n">
        <v>41132</v>
      </c>
      <c r="E29" t="n">
        <v>1523.407407407407</v>
      </c>
    </row>
    <row r="30">
      <c r="A30" t="inlineStr">
        <is>
          <t>South Indian</t>
        </is>
      </c>
      <c r="B30" t="inlineStr">
        <is>
          <t>2026-01</t>
        </is>
      </c>
      <c r="C30" t="n">
        <v>3</v>
      </c>
      <c r="D30" t="n">
        <v>3339</v>
      </c>
      <c r="E30" t="n">
        <v>1113</v>
      </c>
    </row>
    <row r="31">
      <c r="A31" t="inlineStr">
        <is>
          <t>South Indian</t>
        </is>
      </c>
      <c r="B31" t="inlineStr">
        <is>
          <t>2026-02</t>
        </is>
      </c>
      <c r="C31" t="n">
        <v>9</v>
      </c>
      <c r="D31" t="n">
        <v>11754</v>
      </c>
      <c r="E31" t="n">
        <v>1306</v>
      </c>
    </row>
    <row r="32">
      <c r="A32" t="inlineStr">
        <is>
          <t>South Indian</t>
        </is>
      </c>
      <c r="B32" t="inlineStr">
        <is>
          <t>2026-03</t>
        </is>
      </c>
      <c r="C32" t="n">
        <v>10</v>
      </c>
      <c r="D32" t="n">
        <v>14818</v>
      </c>
      <c r="E32" t="n">
        <v>1481.8</v>
      </c>
    </row>
    <row r="33">
      <c r="A33" t="inlineStr">
        <is>
          <t>South Indian</t>
        </is>
      </c>
      <c r="B33" t="inlineStr">
        <is>
          <t>2026-04</t>
        </is>
      </c>
      <c r="C33" t="n">
        <v>8</v>
      </c>
      <c r="D33" t="n">
        <v>10542</v>
      </c>
      <c r="E33" t="n">
        <v>1317.75</v>
      </c>
    </row>
    <row r="34">
      <c r="A34" t="inlineStr">
        <is>
          <t>South Indian</t>
        </is>
      </c>
      <c r="B34" t="inlineStr">
        <is>
          <t>2026-05</t>
        </is>
      </c>
      <c r="C34" t="n">
        <v>7</v>
      </c>
      <c r="D34" t="n">
        <v>10130</v>
      </c>
      <c r="E34" t="n">
        <v>1447.142857142857</v>
      </c>
    </row>
    <row r="35">
      <c r="A35" t="inlineStr">
        <is>
          <t>South Indian</t>
        </is>
      </c>
      <c r="B35" t="inlineStr">
        <is>
          <t>2026-06</t>
        </is>
      </c>
      <c r="C35" t="n">
        <v>10</v>
      </c>
      <c r="D35" t="n">
        <v>12834</v>
      </c>
      <c r="E35" t="n">
        <v>1283.4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cuisine</t>
        </is>
      </c>
      <c r="B1" s="1" t="inlineStr">
        <is>
          <t>target_revenue_inr</t>
        </is>
      </c>
    </row>
    <row r="2">
      <c r="A2" t="inlineStr">
        <is>
          <t>North Indian</t>
        </is>
      </c>
      <c r="B2" t="n">
        <v>180000</v>
      </c>
    </row>
    <row r="3">
      <c r="A3" t="inlineStr">
        <is>
          <t>Chinese</t>
        </is>
      </c>
      <c r="B3" t="n">
        <v>140000</v>
      </c>
    </row>
    <row r="4">
      <c r="A4" t="inlineStr">
        <is>
          <t>South Indian</t>
        </is>
      </c>
      <c r="B4" t="n">
        <v>50000</v>
      </c>
    </row>
    <row r="5">
      <c r="A5" t="inlineStr">
        <is>
          <t>Fast Food</t>
        </is>
      </c>
      <c r="B5" t="n">
        <v>60000</v>
      </c>
    </row>
    <row r="6">
      <c r="A6" t="inlineStr">
        <is>
          <t>Desserts</t>
        </is>
      </c>
      <c r="B6" t="n">
        <v>25000</v>
      </c>
    </row>
    <row r="7">
      <c r="A7" t="inlineStr">
        <is>
          <t>Italian</t>
        </is>
      </c>
      <c r="B7" t="n">
        <v>10000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Insert a real Pivot Table here in Google Sheets / Excel:</t>
        </is>
      </c>
    </row>
    <row r="2">
      <c r="A2" s="3" t="inlineStr">
        <is>
          <t>Data range: 'Monthly Data'!A:E   |   Rows: cuisine   |   Values: SUM of total_revenue, SUM of order_count</t>
        </is>
      </c>
    </row>
    <row r="4">
      <c r="A4" s="1" t="inlineStr">
        <is>
          <t>Row Labels</t>
        </is>
      </c>
      <c r="B4" s="1" t="inlineStr">
        <is>
          <t>Sum of total_revenue</t>
        </is>
      </c>
      <c r="C4" s="1" t="inlineStr">
        <is>
          <t>Sum of order_count</t>
        </is>
      </c>
    </row>
    <row r="5">
      <c r="A5" t="inlineStr">
        <is>
          <t>Chinese</t>
        </is>
      </c>
    </row>
    <row r="6">
      <c r="A6" t="inlineStr">
        <is>
          <t>Desserts</t>
        </is>
      </c>
    </row>
    <row r="7">
      <c r="A7" t="inlineStr">
        <is>
          <t>Fast Food</t>
        </is>
      </c>
    </row>
    <row r="8">
      <c r="A8" t="inlineStr">
        <is>
          <t>Italian</t>
        </is>
      </c>
    </row>
    <row r="9">
      <c r="A9" t="inlineStr">
        <is>
          <t>North Indian</t>
        </is>
      </c>
    </row>
    <row r="10">
      <c r="A10" t="inlineStr">
        <is>
          <t>South Indian</t>
        </is>
      </c>
    </row>
    <row r="11">
      <c r="A11" t="inlineStr">
        <is>
          <t>Grand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cuisine</t>
        </is>
      </c>
      <c r="B1" s="1" t="inlineStr">
        <is>
          <t>total_revenue (from Pivot)</t>
        </is>
      </c>
      <c r="C1" s="1" t="inlineStr">
        <is>
          <t>target_revenue_inr (VLOOKUP)</t>
        </is>
      </c>
      <c r="D1" s="1" t="inlineStr">
        <is>
          <t>variance</t>
        </is>
      </c>
      <c r="E1" s="1" t="inlineStr">
        <is>
          <t>percentage_variance</t>
        </is>
      </c>
      <c r="F1" s="1" t="inlineStr">
        <is>
          <t>status_tag</t>
        </is>
      </c>
      <c r="G1" s="1" t="inlineStr">
        <is>
          <t>Matches Part A SQL total?</t>
        </is>
      </c>
    </row>
    <row r="2">
      <c r="A2" t="inlineStr">
        <is>
          <t>Chinese</t>
        </is>
      </c>
      <c r="B2">
        <f>Pivot!B5</f>
        <v/>
      </c>
      <c r="C2">
        <f>VLOOKUP($A2,'Cuisine Targets'!$A$2:$B$7,2,FALSE)</f>
        <v/>
      </c>
      <c r="D2">
        <f>C2-B2</f>
        <v/>
      </c>
      <c r="E2">
        <f>((B2-C2)/C2)*100</f>
        <v/>
      </c>
      <c r="F2">
        <f>IF(B2&gt;=C2,"Above Target",IF(((C2-B2)/C2)*100&lt;=15,"Below Target - Watch","Below Target - Critical"))</f>
        <v/>
      </c>
      <c r="G2">
        <f>IF(B2=127840,"Yes","No - CHECK")</f>
        <v/>
      </c>
    </row>
    <row r="3">
      <c r="A3" t="inlineStr">
        <is>
          <t>Desserts</t>
        </is>
      </c>
      <c r="B3">
        <f>Pivot!B6</f>
        <v/>
      </c>
      <c r="C3">
        <f>VLOOKUP($A3,'Cuisine Targets'!$A$2:$B$7,2,FALSE)</f>
        <v/>
      </c>
      <c r="D3">
        <f>C3-B3</f>
        <v/>
      </c>
      <c r="E3">
        <f>((B3-C3)/C3)*100</f>
        <v/>
      </c>
      <c r="F3">
        <f>IF(B3&gt;=C3,"Above Target",IF(((C3-B3)/C3)*100&lt;=15,"Below Target - Watch","Below Target - Critical"))</f>
        <v/>
      </c>
      <c r="G3">
        <f>IF(B3=19694,"Yes","No - CHECK")</f>
        <v/>
      </c>
    </row>
    <row r="4">
      <c r="A4" t="inlineStr">
        <is>
          <t>Fast Food</t>
        </is>
      </c>
      <c r="B4">
        <f>Pivot!B7</f>
        <v/>
      </c>
      <c r="C4">
        <f>VLOOKUP($A4,'Cuisine Targets'!$A$2:$B$7,2,FALSE)</f>
        <v/>
      </c>
      <c r="D4">
        <f>C4-B4</f>
        <v/>
      </c>
      <c r="E4">
        <f>((B4-C4)/C4)*100</f>
        <v/>
      </c>
      <c r="F4">
        <f>IF(B4&gt;=C4,"Above Target",IF(((C4-B4)/C4)*100&lt;=15,"Below Target - Watch","Below Target - Critical"))</f>
        <v/>
      </c>
      <c r="G4">
        <f>IF(B4=55123,"Yes","No - CHECK")</f>
        <v/>
      </c>
    </row>
    <row r="5">
      <c r="A5" t="inlineStr">
        <is>
          <t>Italian</t>
        </is>
      </c>
      <c r="B5">
        <f>Pivot!B8</f>
        <v/>
      </c>
      <c r="C5">
        <f>VLOOKUP($A5,'Cuisine Targets'!$A$2:$B$7,2,FALSE)</f>
        <v/>
      </c>
      <c r="D5">
        <f>C5-B5</f>
        <v/>
      </c>
      <c r="E5">
        <f>((B5-C5)/C5)*100</f>
        <v/>
      </c>
      <c r="F5">
        <f>IF(B5&gt;=C5,"Above Target",IF(((C5-B5)/C5)*100&lt;=15,"Below Target - Watch","Below Target - Critical"))</f>
        <v/>
      </c>
      <c r="G5">
        <f>IF(B5=14735,"Yes","No - CHECK")</f>
        <v/>
      </c>
    </row>
    <row r="6">
      <c r="A6" t="inlineStr">
        <is>
          <t>North Indian</t>
        </is>
      </c>
      <c r="B6">
        <f>Pivot!B9</f>
        <v/>
      </c>
      <c r="C6">
        <f>VLOOKUP($A6,'Cuisine Targets'!$A$2:$B$7,2,FALSE)</f>
        <v/>
      </c>
      <c r="D6">
        <f>C6-B6</f>
        <v/>
      </c>
      <c r="E6">
        <f>((B6-C6)/C6)*100</f>
        <v/>
      </c>
      <c r="F6">
        <f>IF(B6&gt;=C6,"Above Target",IF(((C6-B6)/C6)*100&lt;=15,"Below Target - Watch","Below Target - Critical"))</f>
        <v/>
      </c>
      <c r="G6">
        <f>IF(B6=216297,"Yes","No - CHECK")</f>
        <v/>
      </c>
    </row>
    <row r="7">
      <c r="A7" t="inlineStr">
        <is>
          <t>South Indian</t>
        </is>
      </c>
      <c r="B7">
        <f>Pivot!B10</f>
        <v/>
      </c>
      <c r="C7">
        <f>VLOOKUP($A7,'Cuisine Targets'!$A$2:$B$7,2,FALSE)</f>
        <v/>
      </c>
      <c r="D7">
        <f>C7-B7</f>
        <v/>
      </c>
      <c r="E7">
        <f>((B7-C7)/C7)*100</f>
        <v/>
      </c>
      <c r="F7">
        <f>IF(B7&gt;=C7,"Above Target",IF(((C7-B7)/C7)*100&lt;=15,"Below Target - Watch","Below Target - Critical"))</f>
        <v/>
      </c>
      <c r="G7">
        <f>IF(B7=63417,"Yes","No - CHECK")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2026-08-10T04:27:43Z</dcterms:created>
  <dcterms:modified xmlns:dcterms="http://purl.org/dc/terms/" xmlns:xsi="http://www.w3.org/2001/XMLSchema-instance" xsi:type="dcterms:W3CDTF">2026-08-10T04:27:43Z</dcterms:modified>
</cp:coreProperties>
</file>